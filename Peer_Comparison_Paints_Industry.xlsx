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8F3B6AA-669D-40A7-8F77-673F7131B0E5}" xr6:coauthVersionLast="36" xr6:coauthVersionMax="36" xr10:uidLastSave="{00000000-0000-0000-0000-000000000000}"/>
  <bookViews>
    <workbookView xWindow="0" yWindow="0" windowWidth="19200" windowHeight="7430" xr2:uid="{F5209F29-DF4F-4A70-8E60-655F5D5B1F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1" l="1"/>
  <c r="O5" i="1"/>
  <c r="N4" i="1"/>
  <c r="N5" i="1"/>
  <c r="J4" i="1"/>
  <c r="J5" i="1"/>
  <c r="K4" i="1"/>
  <c r="K5" i="1"/>
  <c r="L4" i="1"/>
  <c r="L5" i="1"/>
  <c r="M4" i="1"/>
  <c r="M5" i="1"/>
  <c r="O3" i="1"/>
  <c r="N3" i="1"/>
  <c r="M3" i="1"/>
  <c r="L3" i="1"/>
  <c r="K3" i="1"/>
  <c r="J3" i="1"/>
</calcChain>
</file>

<file path=xl/sharedStrings.xml><?xml version="1.0" encoding="utf-8"?>
<sst xmlns="http://schemas.openxmlformats.org/spreadsheetml/2006/main" count="20" uniqueCount="20">
  <si>
    <t>Company</t>
  </si>
  <si>
    <t>Revenue FY24</t>
  </si>
  <si>
    <t>Revenue FY26</t>
  </si>
  <si>
    <t>EBITDA</t>
  </si>
  <si>
    <t>Net Profit</t>
  </si>
  <si>
    <t>Equity</t>
  </si>
  <si>
    <t>Debt</t>
  </si>
  <si>
    <t>Market Cap</t>
  </si>
  <si>
    <t xml:space="preserve">Asian Paints </t>
  </si>
  <si>
    <t xml:space="preserve">Berger Paints </t>
  </si>
  <si>
    <t>Kansai Nerolac</t>
  </si>
  <si>
    <t>EBITDA Margin</t>
  </si>
  <si>
    <t>Net Margin</t>
  </si>
  <si>
    <t>ROE</t>
  </si>
  <si>
    <t>Debt Equity</t>
  </si>
  <si>
    <t>P/E</t>
  </si>
  <si>
    <t>Revenue CAGR (2yr)</t>
  </si>
  <si>
    <t>Verdict</t>
  </si>
  <si>
    <t>All figures in ₹ crore. Financials are FY26 (year ended March 2026) unless labelled otherwise; Market Cap as on 12 Oct 2026. Source: Screener.in (consolidated).</t>
  </si>
  <si>
    <t>Asian Paints and Berger Paints trade at similar P/E multiples (50.8x vs 48.6x), but Asian Paints earns higher EBITDA margins (18.8% vs 15.4%) and ROE (20.6% vs 16.3%). For almost the same price, an investor gets a more profitable business, so I think Asian Paints offers slightly better value. The catch is that its revenue has been flat over two years (0.1% CAGR) while Berger grew 3.0%, so it depends on the person whether he/she values current profitability or growth.
Kansai Nerolac trades at about half the P/E (25.1x), but its ROE of just 8.6% suggests the discount is deserved.
Key risks: crude oil linked raw material costs, and new competition from Birla Opus, which could keep pressuring growth across the industry.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</si>
</sst>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6FC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0" fontId="0" fillId="0" borderId="0" xfId="0" applyNumberFormat="1"/>
    <xf numFmtId="10" fontId="0" fillId="0" borderId="0" xfId="0" applyNumberFormat="1" applyFont="1" applyAlignment="1">
      <alignment horizontal="center"/>
    </xf>
    <xf numFmtId="165" fontId="0" fillId="0" borderId="0" xfId="0" applyNumberFormat="1"/>
    <xf numFmtId="0" fontId="3" fillId="3" borderId="1" xfId="0" applyFont="1" applyFill="1" applyBorder="1" applyAlignment="1">
      <alignment horizontal="left" vertical="center" indent="1"/>
    </xf>
    <xf numFmtId="0" fontId="0" fillId="2" borderId="1" xfId="0" applyFont="1" applyFill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left" vertical="top" wrapText="1" inden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Sheet1!$L$2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Sheet1!$A$3:$A$5</c:f>
              <c:strCache>
                <c:ptCount val="3"/>
                <c:pt idx="0">
                  <c:v>Asian Paints </c:v>
                </c:pt>
                <c:pt idx="1">
                  <c:v>Berger Paints </c:v>
                </c:pt>
                <c:pt idx="2">
                  <c:v>Kansai Nerolac</c:v>
                </c:pt>
              </c:strCache>
            </c:strRef>
          </c:cat>
          <c:val>
            <c:numRef>
              <c:f>Sheet1!$L$3:$L$5</c:f>
              <c:numCache>
                <c:formatCode>0.00%</c:formatCode>
                <c:ptCount val="3"/>
                <c:pt idx="0">
                  <c:v>0.20564289724873666</c:v>
                </c:pt>
                <c:pt idx="1">
                  <c:v>0.16307647824201243</c:v>
                </c:pt>
                <c:pt idx="2">
                  <c:v>8.5790884718498661E-2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45-474D-B834-2C532DE8A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2595823"/>
        <c:axId val="585455935"/>
      </c:barChart>
      <c:catAx>
        <c:axId val="58259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455935"/>
        <c:crosses val="autoZero"/>
        <c:auto val="1"/>
        <c:lblAlgn val="ctr"/>
        <c:lblOffset val="100"/>
        <c:noMultiLvlLbl val="0"/>
      </c:catAx>
      <c:valAx>
        <c:axId val="58545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595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Sheet1!$N$2</c:f>
              <c:strCache>
                <c:ptCount val="1"/>
                <c:pt idx="0">
                  <c:v>P/E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Sheet1!$A$3:$A$5</c:f>
              <c:strCache>
                <c:ptCount val="3"/>
                <c:pt idx="0">
                  <c:v>Asian Paints </c:v>
                </c:pt>
                <c:pt idx="1">
                  <c:v>Berger Paints </c:v>
                </c:pt>
                <c:pt idx="2">
                  <c:v>Kansai Nerolac</c:v>
                </c:pt>
              </c:strCache>
            </c:strRef>
          </c:cat>
          <c:val>
            <c:numRef>
              <c:f>Sheet1!$N$3:$N$5</c:f>
              <c:numCache>
                <c:formatCode>0.0</c:formatCode>
                <c:ptCount val="3"/>
                <c:pt idx="0">
                  <c:v>50.794994311717858</c:v>
                </c:pt>
                <c:pt idx="1">
                  <c:v>48.603723404255319</c:v>
                </c:pt>
                <c:pt idx="2">
                  <c:v>25.144097222222221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4E-4DD8-BFA6-1B4CD2F87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843279"/>
        <c:axId val="261394271"/>
      </c:barChart>
      <c:catAx>
        <c:axId val="58184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4271"/>
        <c:crosses val="autoZero"/>
        <c:auto val="1"/>
        <c:lblAlgn val="ctr"/>
        <c:lblOffset val="100"/>
        <c:noMultiLvlLbl val="0"/>
      </c:catAx>
      <c:valAx>
        <c:axId val="26139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843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466725</xdr:colOff>
      <xdr:row>7</xdr:row>
      <xdr:rowOff>19050</xdr:rowOff>
    </xdr:from>
    <xdr:to>
      <xdr:col>5</xdr:col>
      <xdr:colOff>520700</xdr:colOff>
      <xdr:row>16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C1B783-D065-40CC-9836-A30447AD9C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269875</xdr:colOff>
      <xdr:row>7</xdr:row>
      <xdr:rowOff>38100</xdr:rowOff>
    </xdr:from>
    <xdr:to>
      <xdr:col>12</xdr:col>
      <xdr:colOff>171450</xdr:colOff>
      <xdr:row>16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D52360-48D1-42FF-94F8-B5F391A09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C130-FA20-4849-9B05-5B9816D2156C}">
  <dimension ref="A1:O20"/>
  <sheetViews>
    <sheetView tabSelected="1" topLeftCell="A8" workbookViewId="0">
      <selection activeCell="A20" sqref="A20:O20"/>
    </sheetView>
  </sheetViews>
  <sheetFormatPr defaultRowHeight="14.5" x14ac:dyDescent="0.35"/>
  <cols>
    <col min="1" max="1" width="14.6328125" customWidth="1"/>
    <col min="2" max="2" width="12.36328125" customWidth="1"/>
    <col min="3" max="3" width="12.26953125" customWidth="1"/>
    <col min="4" max="4" width="9.36328125" bestFit="1" customWidth="1"/>
    <col min="5" max="6" width="9.26953125" bestFit="1" customWidth="1"/>
    <col min="7" max="7" width="8.81640625" bestFit="1" customWidth="1"/>
    <col min="8" max="8" width="10.26953125" customWidth="1"/>
    <col min="10" max="10" width="13.36328125" customWidth="1"/>
    <col min="11" max="11" width="12.54296875" customWidth="1"/>
    <col min="12" max="12" width="9.08984375" customWidth="1"/>
    <col min="13" max="13" width="11.453125" customWidth="1"/>
    <col min="14" max="14" width="8.81640625" customWidth="1"/>
    <col min="15" max="15" width="16.90625" customWidth="1"/>
  </cols>
  <sheetData>
    <row r="1" spans="1:15" x14ac:dyDescent="0.35">
      <c r="A1" s="11" t="s">
        <v>18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x14ac:dyDescent="0.35">
      <c r="A2" s="2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2" t="s">
        <v>5</v>
      </c>
      <c r="G2" s="2" t="s">
        <v>6</v>
      </c>
      <c r="H2" s="1" t="s">
        <v>7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</row>
    <row r="3" spans="1:15" x14ac:dyDescent="0.35">
      <c r="A3" t="s">
        <v>8</v>
      </c>
      <c r="B3" s="3">
        <v>35495</v>
      </c>
      <c r="C3" s="3">
        <v>35584</v>
      </c>
      <c r="D3" s="3">
        <v>6700</v>
      </c>
      <c r="E3" s="3">
        <v>4395</v>
      </c>
      <c r="F3" s="3">
        <v>21372</v>
      </c>
      <c r="G3" s="3">
        <v>3929</v>
      </c>
      <c r="H3" s="4">
        <v>223244</v>
      </c>
      <c r="J3" s="5">
        <f>D3/C3</f>
        <v>0.18828687050359713</v>
      </c>
      <c r="K3" s="6">
        <f>E3/C3</f>
        <v>0.1235105665467626</v>
      </c>
      <c r="L3" s="5">
        <f>E3/F3</f>
        <v>0.20564289724873666</v>
      </c>
      <c r="M3" s="7">
        <f>G3/F3</f>
        <v>0.18383866741530974</v>
      </c>
      <c r="N3" s="7">
        <f>H3/E3</f>
        <v>50.794994311717858</v>
      </c>
      <c r="O3" s="5">
        <f>(C3/B3)^(1/2)  -1</f>
        <v>1.2529128086489205E-3</v>
      </c>
    </row>
    <row r="4" spans="1:15" x14ac:dyDescent="0.35">
      <c r="A4" t="s">
        <v>9</v>
      </c>
      <c r="B4" s="3">
        <v>11199</v>
      </c>
      <c r="C4" s="3">
        <v>11880</v>
      </c>
      <c r="D4" s="3">
        <v>1833</v>
      </c>
      <c r="E4" s="3">
        <v>1128</v>
      </c>
      <c r="F4" s="3">
        <v>6917</v>
      </c>
      <c r="G4" s="3">
        <v>635</v>
      </c>
      <c r="H4" s="3">
        <v>54825</v>
      </c>
      <c r="J4" s="5">
        <f t="shared" ref="J4:J5" si="0">D4/C4</f>
        <v>0.15429292929292929</v>
      </c>
      <c r="K4" s="6">
        <f t="shared" ref="K4:K5" si="1">E4/C4</f>
        <v>9.494949494949495E-2</v>
      </c>
      <c r="L4" s="5">
        <f t="shared" ref="L4:L5" si="2">E4/F4</f>
        <v>0.16307647824201243</v>
      </c>
      <c r="M4" s="7">
        <f t="shared" ref="M4:M5" si="3">G4/F4</f>
        <v>9.1802804684111602E-2</v>
      </c>
      <c r="N4" s="7">
        <f t="shared" ref="N4:N5" si="4">H4/E4</f>
        <v>48.603723404255319</v>
      </c>
      <c r="O4" s="5">
        <f t="shared" ref="O4:O5" si="5">(C4/B4)^(1/2)  -1</f>
        <v>2.9955824685526711E-2</v>
      </c>
    </row>
    <row r="5" spans="1:15" x14ac:dyDescent="0.35">
      <c r="A5" t="s">
        <v>10</v>
      </c>
      <c r="B5" s="3">
        <v>7801</v>
      </c>
      <c r="C5" s="3">
        <v>8052</v>
      </c>
      <c r="D5" s="3">
        <v>975</v>
      </c>
      <c r="E5" s="3">
        <v>576</v>
      </c>
      <c r="F5" s="3">
        <v>6714</v>
      </c>
      <c r="G5" s="3">
        <v>303</v>
      </c>
      <c r="H5" s="3">
        <v>14483</v>
      </c>
      <c r="J5" s="5">
        <f t="shared" si="0"/>
        <v>0.12108792846497765</v>
      </c>
      <c r="K5" s="6">
        <f t="shared" si="1"/>
        <v>7.1535022354694486E-2</v>
      </c>
      <c r="L5" s="5">
        <f t="shared" si="2"/>
        <v>8.5790884718498661E-2</v>
      </c>
      <c r="M5" s="7">
        <f t="shared" si="3"/>
        <v>4.5129579982126897E-2</v>
      </c>
      <c r="N5" s="7">
        <f t="shared" si="4"/>
        <v>25.144097222222221</v>
      </c>
      <c r="O5" s="5">
        <f t="shared" si="5"/>
        <v>1.5960315235324485E-2</v>
      </c>
    </row>
    <row r="19" spans="1:15" ht="22" customHeight="1" x14ac:dyDescent="0.35">
      <c r="A19" s="8" t="s">
        <v>17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ht="112" customHeight="1" x14ac:dyDescent="0.35">
      <c r="A20" s="9" t="s">
        <v>19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</sheetData>
  <mergeCells count="3">
    <mergeCell ref="A19:O19"/>
    <mergeCell ref="A20:O20"/>
    <mergeCell ref="A1:O1"/>
  </mergeCells>
  <conditionalFormatting sqref="J3:J5">
    <cfRule type="colorScale" priority="14">
      <colorScale>
        <cfvo type="min"/>
        <cfvo type="percentile" val="50"/>
        <cfvo type="max"/>
        <color rgb="FFFF0000"/>
        <color rgb="FFFFEB84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C00000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C00000"/>
        <color rgb="FFFFEB84"/>
        <color theme="9"/>
      </colorScale>
    </cfRule>
  </conditionalFormatting>
  <conditionalFormatting sqref="K3:K5">
    <cfRule type="colorScale" priority="13">
      <colorScale>
        <cfvo type="min"/>
        <cfvo type="percentile" val="50"/>
        <cfvo type="max"/>
        <color rgb="FFFF0000"/>
        <color rgb="FFFFEB84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C00000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C00000"/>
        <color rgb="FFFFEB84"/>
        <color theme="9"/>
      </colorScale>
    </cfRule>
  </conditionalFormatting>
  <conditionalFormatting sqref="L3:L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C00000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C00000"/>
        <color rgb="FFFFEB84"/>
        <color theme="9"/>
      </colorScale>
    </cfRule>
  </conditionalFormatting>
  <conditionalFormatting sqref="M3:M5">
    <cfRule type="colorScale" priority="9">
      <colorScale>
        <cfvo type="min"/>
        <cfvo type="percentile" val="50"/>
        <cfvo type="max"/>
        <color theme="9"/>
        <color rgb="FFFFEB84"/>
        <color rgb="FFC00000"/>
      </colorScale>
    </cfRule>
  </conditionalFormatting>
  <conditionalFormatting sqref="N3:N5">
    <cfRule type="colorScale" priority="2">
      <colorScale>
        <cfvo type="min"/>
        <cfvo type="percentile" val="50"/>
        <cfvo type="max"/>
        <color theme="9"/>
        <color rgb="FFFFEB84"/>
        <color rgb="FFC00000"/>
      </colorScale>
    </cfRule>
  </conditionalFormatting>
  <conditionalFormatting sqref="O3:O5">
    <cfRule type="colorScale" priority="1">
      <colorScale>
        <cfvo type="min"/>
        <cfvo type="percentile" val="50"/>
        <cfvo type="max"/>
        <color rgb="FFC00000"/>
        <color rgb="FFFFEB84"/>
        <color theme="9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2026-10-12T08:03:18Z</dcterms:created>
  <dcterms:modified xsi:type="dcterms:W3CDTF">2026-10-12T12:48:05Z</dcterms:modified>
</cp:coreProperties>
</file>